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<sst xmlns="http://schemas.openxmlformats.org/spreadsheetml/2006/main" count="40" uniqueCount="29">
  <si>
    <t>Description</t>
  </si>
  <si>
    <t>Part Number</t>
  </si>
  <si>
    <t>Quantity</t>
  </si>
  <si>
    <t>Unit Price</t>
  </si>
  <si>
    <t>Price</t>
  </si>
  <si>
    <t>Buck Converter IC</t>
  </si>
  <si>
    <t>LM2576T-ADJ</t>
  </si>
  <si>
    <t>Battery Management IC</t>
  </si>
  <si>
    <t>LTC4365</t>
  </si>
  <si>
    <t>n-channel Power Mosfet</t>
  </si>
  <si>
    <t>PSMN2R6-30YLC,115</t>
  </si>
  <si>
    <t xml:space="preserve">Shottky Diode </t>
  </si>
  <si>
    <t>1N5822</t>
  </si>
  <si>
    <t>3-pin Toggle Switch</t>
  </si>
  <si>
    <t>2AS1T2A1M6RES</t>
  </si>
  <si>
    <t>100uF Capacitors</t>
  </si>
  <si>
    <t>-</t>
  </si>
  <si>
    <t>1,000uF Capacitors</t>
  </si>
  <si>
    <t>1uF capacitor</t>
  </si>
  <si>
    <t>3.3kOhm Resistors</t>
  </si>
  <si>
    <t>10kOhm Resistors</t>
  </si>
  <si>
    <t>4.7kOhm Resistors</t>
  </si>
  <si>
    <t>1MOhm Resistors</t>
  </si>
  <si>
    <t>22kOhm Resistors</t>
  </si>
  <si>
    <t>100kOhm Resistors</t>
  </si>
  <si>
    <t>100uH Inductor</t>
  </si>
  <si>
    <t>Screw Terminals</t>
  </si>
  <si>
    <t>5-pin Header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</si>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</sst>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6" fillId="0" fontId="2" numFmtId="164" xfId="0" applyBorder="1" applyFont="1" applyNumberForma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9" fillId="0" fontId="2" numFmtId="164" xfId="0" applyBorder="1" applyFont="1" applyNumberFormat="1"/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0" fontId="2" numFmtId="164" xfId="0" applyAlignment="1" applyBorder="1" applyFont="1" applyNumberFormat="1">
      <alignment readingOrder="0"/>
    </xf>
    <xf borderId="13" fillId="0" fontId="2" numFmtId="164" xfId="0" applyBorder="1" applyFont="1" applyNumberFormat="1"/>
    <xf borderId="3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7.75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>
      <c r="A4" s="4" t="s">
        <v>5</v>
      </c>
      <c r="B4" s="5" t="s">
        <v>6</v>
      </c>
      <c r="C4" s="5">
        <v>2.0</v>
      </c>
      <c r="D4" s="6">
        <v>1.79</v>
      </c>
      <c r="E4" s="7">
        <f t="shared" ref="E4:E20" si="1">C4*D4</f>
        <v>3.58</v>
      </c>
    </row>
    <row r="5">
      <c r="A5" s="8" t="s">
        <v>7</v>
      </c>
      <c r="B5" s="9" t="s">
        <v>8</v>
      </c>
      <c r="C5" s="9">
        <v>1.0</v>
      </c>
      <c r="D5" s="10">
        <v>5.95</v>
      </c>
      <c r="E5" s="11">
        <f t="shared" si="1"/>
        <v>5.95</v>
      </c>
    </row>
    <row r="6">
      <c r="A6" s="8" t="s">
        <v>9</v>
      </c>
      <c r="B6" s="9" t="s">
        <v>10</v>
      </c>
      <c r="C6" s="9">
        <v>2.0</v>
      </c>
      <c r="D6" s="10">
        <v>1.81</v>
      </c>
      <c r="E6" s="11">
        <f t="shared" si="1"/>
        <v>3.62</v>
      </c>
    </row>
    <row r="7">
      <c r="A7" s="8" t="s">
        <v>11</v>
      </c>
      <c r="B7" s="9" t="s">
        <v>12</v>
      </c>
      <c r="C7" s="9">
        <v>2.0</v>
      </c>
      <c r="D7" s="10">
        <v>0.28</v>
      </c>
      <c r="E7" s="11">
        <f t="shared" si="1"/>
        <v>0.56</v>
      </c>
    </row>
    <row r="8">
      <c r="A8" s="8" t="s">
        <v>13</v>
      </c>
      <c r="B8" s="9" t="s">
        <v>14</v>
      </c>
      <c r="C8" s="9">
        <v>1.0</v>
      </c>
      <c r="D8" s="10">
        <v>1.94</v>
      </c>
      <c r="E8" s="11">
        <f t="shared" si="1"/>
        <v>1.94</v>
      </c>
    </row>
    <row r="9">
      <c r="A9" s="8" t="s">
        <v>15</v>
      </c>
      <c r="B9" s="9" t="s">
        <v>16</v>
      </c>
      <c r="C9" s="9">
        <v>3.0</v>
      </c>
      <c r="D9" s="10">
        <v>0.32</v>
      </c>
      <c r="E9" s="11">
        <f t="shared" si="1"/>
        <v>0.96</v>
      </c>
    </row>
    <row r="10">
      <c r="A10" s="8" t="s">
        <v>17</v>
      </c>
      <c r="B10" s="9" t="s">
        <v>16</v>
      </c>
      <c r="C10" s="9">
        <v>2.0</v>
      </c>
      <c r="D10" s="10">
        <v>0.54</v>
      </c>
      <c r="E10" s="11">
        <f t="shared" si="1"/>
        <v>1.08</v>
      </c>
    </row>
    <row r="11">
      <c r="A11" s="8" t="s">
        <v>18</v>
      </c>
      <c r="B11" s="9" t="s">
        <v>16</v>
      </c>
      <c r="C11" s="9">
        <v>1.0</v>
      </c>
      <c r="D11" s="10">
        <v>0.1</v>
      </c>
      <c r="E11" s="11">
        <f t="shared" si="1"/>
        <v>0.1</v>
      </c>
    </row>
    <row r="12">
      <c r="A12" s="8" t="s">
        <v>19</v>
      </c>
      <c r="B12" s="9" t="s">
        <v>16</v>
      </c>
      <c r="C12" s="9">
        <v>3.0</v>
      </c>
      <c r="D12" s="10">
        <v>0.06</v>
      </c>
      <c r="E12" s="11">
        <f t="shared" si="1"/>
        <v>0.18</v>
      </c>
    </row>
    <row r="13">
      <c r="A13" s="8" t="s">
        <v>20</v>
      </c>
      <c r="B13" s="9" t="s">
        <v>16</v>
      </c>
      <c r="C13" s="9">
        <v>4.0</v>
      </c>
      <c r="D13" s="10">
        <v>0.1</v>
      </c>
      <c r="E13" s="11">
        <f t="shared" si="1"/>
        <v>0.4</v>
      </c>
    </row>
    <row r="14">
      <c r="A14" s="8" t="s">
        <v>21</v>
      </c>
      <c r="B14" s="9" t="s">
        <v>16</v>
      </c>
      <c r="C14" s="9">
        <v>3.0</v>
      </c>
      <c r="D14" s="10">
        <v>0.1</v>
      </c>
      <c r="E14" s="11">
        <f t="shared" si="1"/>
        <v>0.3</v>
      </c>
    </row>
    <row r="15">
      <c r="A15" s="8" t="s">
        <v>22</v>
      </c>
      <c r="B15" s="9" t="s">
        <v>16</v>
      </c>
      <c r="C15" s="9">
        <v>1.0</v>
      </c>
      <c r="D15" s="10">
        <v>0.1</v>
      </c>
      <c r="E15" s="11">
        <f t="shared" si="1"/>
        <v>0.1</v>
      </c>
    </row>
    <row r="16">
      <c r="A16" s="8" t="s">
        <v>23</v>
      </c>
      <c r="B16" s="9" t="s">
        <v>16</v>
      </c>
      <c r="C16" s="9">
        <v>1.0</v>
      </c>
      <c r="D16" s="10">
        <v>0.1</v>
      </c>
      <c r="E16" s="11">
        <f t="shared" si="1"/>
        <v>0.1</v>
      </c>
    </row>
    <row r="17">
      <c r="A17" s="8" t="s">
        <v>24</v>
      </c>
      <c r="B17" s="9" t="s">
        <v>16</v>
      </c>
      <c r="C17" s="9">
        <v>1.0</v>
      </c>
      <c r="D17" s="10">
        <v>0.1</v>
      </c>
      <c r="E17" s="11">
        <f t="shared" si="1"/>
        <v>0.1</v>
      </c>
    </row>
    <row r="18">
      <c r="A18" s="8" t="s">
        <v>25</v>
      </c>
      <c r="B18" s="9" t="s">
        <v>16</v>
      </c>
      <c r="C18" s="9">
        <v>2.0</v>
      </c>
      <c r="D18" s="10">
        <v>3.02</v>
      </c>
      <c r="E18" s="11">
        <f t="shared" si="1"/>
        <v>6.04</v>
      </c>
    </row>
    <row r="19">
      <c r="A19" s="8" t="s">
        <v>26</v>
      </c>
      <c r="B19" s="9" t="s">
        <v>16</v>
      </c>
      <c r="C19" s="9">
        <v>4.0</v>
      </c>
      <c r="D19" s="10">
        <v>0.4</v>
      </c>
      <c r="E19" s="11">
        <f t="shared" si="1"/>
        <v>1.6</v>
      </c>
    </row>
    <row r="20">
      <c r="A20" s="12" t="s">
        <v>27</v>
      </c>
      <c r="B20" s="13" t="s">
        <v>16</v>
      </c>
      <c r="C20" s="13">
        <v>1.0</v>
      </c>
      <c r="D20" s="14">
        <v>0.24</v>
      </c>
      <c r="E20" s="15">
        <f t="shared" si="1"/>
        <v>0.24</v>
      </c>
    </row>
    <row r="21">
      <c r="D21" s="1" t="s">
        <v>28</v>
      </c>
      <c r="E21" s="16">
        <f>SUM(E4:E20)</f>
        <v>26.85</v>
      </c>
    </row>
  </sheetData>
  <drawing r:id="rId1"/>
</worksheet>
</file>